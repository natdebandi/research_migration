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G:\My Drive\2. Data-work\R_workspace\research_migration\data\"/>
    </mc:Choice>
  </mc:AlternateContent>
  <xr:revisionPtr revIDLastSave="0" documentId="13_ncr:1_{C8065EFE-4F12-4AB7-8E76-A3CFA9B3E81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Output" sheetId="1" r:id="rId1"/>
    <sheet name="Sheet1" sheetId="7" r:id="rId2"/>
    <sheet name="Migrante" sheetId="2" r:id="rId3"/>
    <sheet name="arg1" sheetId="4" r:id="rId4"/>
    <sheet name="arg2" sheetId="5" r:id="rId5"/>
    <sheet name="total" sheetId="6" r:id="rId6"/>
    <sheet name="Sheet2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7" l="1"/>
  <c r="D15" i="7" s="1"/>
  <c r="E12" i="7"/>
  <c r="D13" i="7"/>
  <c r="E13" i="7"/>
  <c r="D14" i="7"/>
  <c r="E14" i="7"/>
  <c r="C13" i="7"/>
  <c r="C14" i="7"/>
  <c r="C12" i="7"/>
  <c r="C15" i="7" s="1"/>
  <c r="E15" i="7"/>
  <c r="D8" i="7"/>
  <c r="E8" i="7"/>
  <c r="C8" i="7"/>
  <c r="K6" i="7"/>
  <c r="K7" i="7"/>
  <c r="K5" i="7"/>
</calcChain>
</file>

<file path=xl/sharedStrings.xml><?xml version="1.0" encoding="utf-8"?>
<sst xmlns="http://schemas.openxmlformats.org/spreadsheetml/2006/main" count="100" uniqueCount="42">
  <si>
    <t>CEPAL/CELADE Redatam+SP 06/17/2025</t>
  </si>
  <si>
    <t>Base de datos</t>
  </si>
  <si>
    <t>Base: Pueblos originarios, afrodescendientes e identidad de género</t>
  </si>
  <si>
    <t>Área Geográfica</t>
  </si>
  <si>
    <t>Toda la Base de Datos</t>
  </si>
  <si>
    <t>Universo</t>
  </si>
  <si>
    <t>Tipo de vivienda agrupada | Viviendas particulares</t>
  </si>
  <si>
    <t>Cruce</t>
  </si>
  <si>
    <t xml:space="preserve">  de Lugar de nacimiento</t>
  </si>
  <si>
    <t xml:space="preserve">  por Cobertura de salud</t>
  </si>
  <si>
    <t xml:space="preserve">  por Sexo registrado al nacer</t>
  </si>
  <si>
    <t>Lugar de nacimiento</t>
  </si>
  <si>
    <t>Cobertura de salud</t>
  </si>
  <si>
    <t>Sexo registrado al nacer</t>
  </si>
  <si>
    <t>Esta provincia</t>
  </si>
  <si>
    <t>Mujer / Femenino</t>
  </si>
  <si>
    <t>Varón / Masculino</t>
  </si>
  <si>
    <t>Total</t>
  </si>
  <si>
    <t xml:space="preserve"> Obra social o prepaga (incluye PAMI)</t>
  </si>
  <si>
    <t xml:space="preserve"> Programas o planes estatales de salud</t>
  </si>
  <si>
    <t xml:space="preserve"> No tiene obra social, prepaga ni plan estatal</t>
  </si>
  <si>
    <t xml:space="preserve"> Total</t>
  </si>
  <si>
    <t>Otra provincia argentina</t>
  </si>
  <si>
    <t>Otro país</t>
  </si>
  <si>
    <t>INDEC - CENSO NACIONAL DE POBLACION, HOGARES Y VIVIENDAS 2022</t>
  </si>
  <si>
    <t>Instituto Nacional de Estadística y Censos</t>
  </si>
  <si>
    <t>Procesado con Redatam 7, CEPAL/CELADE</t>
  </si>
  <si>
    <t xml:space="preserve">   567 839</t>
  </si>
  <si>
    <t xml:space="preserve">   426 386</t>
  </si>
  <si>
    <t xml:space="preserve">   994 225</t>
  </si>
  <si>
    <t xml:space="preserve">   33 460</t>
  </si>
  <si>
    <t xml:space="preserve">   23 392</t>
  </si>
  <si>
    <t xml:space="preserve">   56 852</t>
  </si>
  <si>
    <t xml:space="preserve">   460 122</t>
  </si>
  <si>
    <t xml:space="preserve">   422 264</t>
  </si>
  <si>
    <t xml:space="preserve">   882 386</t>
  </si>
  <si>
    <t>Migrantes</t>
  </si>
  <si>
    <t>Total Pais</t>
  </si>
  <si>
    <t>No migrantes</t>
  </si>
  <si>
    <t>otra provincia</t>
  </si>
  <si>
    <t>esta provincia</t>
  </si>
  <si>
    <t>el 46 % de los migrantes no tiene OS mientras solo el 35% de los nacionales (no migrantes) no tiene 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</si>
</sst>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\ ###\ ###\ ###\ ##0"/>
  </numFmts>
  <fonts count="4" x14ac:knownFonts="1">
    <font>
      <sz val="11"/>
      <color theme="1"/>
      <name val="Calibri"/>
      <family val="2"/>
      <scheme val="minor"/>
    </font>
    <font>
      <b/>
      <sz val="8.25"/>
      <color rgb="FF000000"/>
      <name val="Tahoma"/>
      <family val="2"/>
    </font>
    <font>
      <sz val="8.25"/>
      <color rgb="FF000000"/>
      <name val="Tahoma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0A0A4"/>
        <bgColor auto="1"/>
      </patternFill>
    </fill>
    <fill>
      <patternFill patternType="solid">
        <fgColor rgb="FFC0C0C0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2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right" vertical="top" wrapText="1"/>
    </xf>
    <xf numFmtId="0" fontId="1" fillId="0" borderId="1" xfId="0" applyFont="1" applyBorder="1" applyAlignment="1">
      <alignment horizontal="right" vertical="top" wrapText="1"/>
    </xf>
    <xf numFmtId="0" fontId="2" fillId="0" borderId="4" xfId="0" applyFont="1" applyBorder="1" applyAlignment="1">
      <alignment horizontal="left" vertical="top" wrapText="1"/>
    </xf>
    <xf numFmtId="164" fontId="2" fillId="0" borderId="1" xfId="0" applyNumberFormat="1" applyFont="1" applyBorder="1" applyAlignment="1">
      <alignment horizontal="right" vertical="top" wrapText="1"/>
    </xf>
    <xf numFmtId="0" fontId="1" fillId="3" borderId="1" xfId="0" applyFont="1" applyFill="1" applyBorder="1" applyAlignment="1">
      <alignment horizontal="left" vertical="top" wrapText="1"/>
    </xf>
    <xf numFmtId="164" fontId="2" fillId="3" borderId="1" xfId="0" applyNumberFormat="1" applyFont="1" applyFill="1" applyBorder="1" applyAlignment="1">
      <alignment horizontal="right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164" fontId="0" fillId="0" borderId="0" xfId="0" applyNumberFormat="1"/>
    <xf numFmtId="9" fontId="2" fillId="0" borderId="1" xfId="1" applyFont="1" applyBorder="1" applyAlignment="1">
      <alignment horizontal="right" vertical="top" wrapText="1"/>
    </xf>
    <xf numFmtId="0" fontId="0" fillId="4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9"/>
  <sheetViews>
    <sheetView showGridLines="0" topLeftCell="A6" workbookViewId="0">
      <selection activeCell="F16" sqref="F16:F18"/>
    </sheetView>
  </sheetViews>
  <sheetFormatPr defaultColWidth="9.109375" defaultRowHeight="14.4" x14ac:dyDescent="0.3"/>
  <cols>
    <col min="1" max="1" width="1" customWidth="1"/>
    <col min="2" max="2" width="17.88671875" customWidth="1"/>
    <col min="3" max="3" width="31.6640625" customWidth="1"/>
    <col min="4" max="4" width="13" customWidth="1"/>
    <col min="5" max="5" width="13.109375" customWidth="1"/>
    <col min="6" max="6" width="9.6640625" customWidth="1"/>
    <col min="7" max="11" width="1.109375" customWidth="1"/>
  </cols>
  <sheetData>
    <row r="1" spans="1:11" ht="16.350000000000001" customHeight="1" x14ac:dyDescent="0.3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6.350000000000001" customHeight="1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16.350000000000001" customHeight="1" x14ac:dyDescent="0.3">
      <c r="A3" s="13" t="s">
        <v>1</v>
      </c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ht="16.350000000000001" customHeight="1" x14ac:dyDescent="0.3">
      <c r="A4" s="14" t="s">
        <v>2</v>
      </c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1:11" ht="16.350000000000001" customHeight="1" x14ac:dyDescent="0.3">
      <c r="A5" s="13" t="s">
        <v>3</v>
      </c>
      <c r="B5" s="14"/>
      <c r="C5" s="14"/>
      <c r="D5" s="14"/>
      <c r="E5" s="14"/>
      <c r="F5" s="14"/>
      <c r="G5" s="14"/>
      <c r="H5" s="14"/>
      <c r="I5" s="14"/>
      <c r="J5" s="14"/>
      <c r="K5" s="14"/>
    </row>
    <row r="6" spans="1:11" ht="16.350000000000001" customHeight="1" x14ac:dyDescent="0.3">
      <c r="A6" s="14" t="s">
        <v>4</v>
      </c>
      <c r="B6" s="14"/>
      <c r="C6" s="14"/>
      <c r="D6" s="14"/>
      <c r="E6" s="14"/>
      <c r="F6" s="14"/>
      <c r="G6" s="14"/>
      <c r="H6" s="14"/>
      <c r="I6" s="14"/>
      <c r="J6" s="14"/>
      <c r="K6" s="14"/>
    </row>
    <row r="7" spans="1:11" ht="16.350000000000001" customHeight="1" x14ac:dyDescent="0.3">
      <c r="A7" s="13" t="s">
        <v>5</v>
      </c>
      <c r="B7" s="14"/>
      <c r="C7" s="14"/>
      <c r="D7" s="14"/>
      <c r="E7" s="14"/>
      <c r="F7" s="14"/>
      <c r="G7" s="14"/>
      <c r="H7" s="14"/>
      <c r="I7" s="14"/>
      <c r="J7" s="14"/>
      <c r="K7" s="14"/>
    </row>
    <row r="8" spans="1:11" ht="16.350000000000001" customHeight="1" x14ac:dyDescent="0.3">
      <c r="A8" s="14" t="s">
        <v>6</v>
      </c>
      <c r="B8" s="14"/>
      <c r="C8" s="14"/>
      <c r="D8" s="14"/>
      <c r="E8" s="14"/>
      <c r="F8" s="14"/>
      <c r="G8" s="14"/>
      <c r="H8" s="14"/>
      <c r="I8" s="14"/>
      <c r="J8" s="14"/>
      <c r="K8" s="14"/>
    </row>
    <row r="9" spans="1:11" ht="16.350000000000001" customHeight="1" x14ac:dyDescent="0.3">
      <c r="A9" s="13" t="s">
        <v>7</v>
      </c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1" ht="16.350000000000001" customHeight="1" x14ac:dyDescent="0.3">
      <c r="A10" s="14" t="s">
        <v>8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spans="1:11" ht="16.350000000000001" customHeight="1" x14ac:dyDescent="0.3">
      <c r="A11" s="14" t="s">
        <v>9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</row>
    <row r="12" spans="1:11" ht="16.350000000000001" customHeight="1" x14ac:dyDescent="0.3">
      <c r="A12" s="14" t="s">
        <v>10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</row>
    <row r="13" spans="1:11" ht="16.350000000000001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ht="16.350000000000001" customHeight="1" x14ac:dyDescent="0.3">
      <c r="A14" s="2"/>
      <c r="B14" s="3" t="s">
        <v>11</v>
      </c>
      <c r="C14" s="3" t="s">
        <v>12</v>
      </c>
      <c r="D14" s="15" t="s">
        <v>13</v>
      </c>
      <c r="E14" s="16"/>
      <c r="F14" s="16"/>
      <c r="G14" s="4"/>
      <c r="H14" s="5"/>
      <c r="I14" s="2"/>
      <c r="J14" s="2"/>
      <c r="K14" s="2"/>
    </row>
    <row r="15" spans="1:11" ht="14.85" customHeight="1" x14ac:dyDescent="0.3">
      <c r="A15" s="2"/>
      <c r="B15" s="12" t="s">
        <v>14</v>
      </c>
      <c r="C15" s="1"/>
      <c r="D15" s="6" t="s">
        <v>15</v>
      </c>
      <c r="E15" s="6" t="s">
        <v>16</v>
      </c>
      <c r="F15" s="7" t="s">
        <v>17</v>
      </c>
      <c r="G15" s="8"/>
      <c r="H15" s="2"/>
      <c r="I15" s="2"/>
      <c r="J15" s="2"/>
      <c r="K15" s="2"/>
    </row>
    <row r="16" spans="1:11" ht="16.350000000000001" customHeight="1" x14ac:dyDescent="0.3">
      <c r="A16" s="2"/>
      <c r="B16" s="12"/>
      <c r="C16" s="1" t="s">
        <v>18</v>
      </c>
      <c r="D16" s="9">
        <v>11580713</v>
      </c>
      <c r="E16" s="9">
        <v>10457381</v>
      </c>
      <c r="F16" s="9">
        <v>22038094</v>
      </c>
      <c r="G16" s="8"/>
      <c r="H16" s="2"/>
      <c r="I16" s="2"/>
      <c r="J16" s="2"/>
      <c r="K16" s="2"/>
    </row>
    <row r="17" spans="1:11" ht="16.350000000000001" customHeight="1" x14ac:dyDescent="0.3">
      <c r="A17" s="2"/>
      <c r="B17" s="12"/>
      <c r="C17" s="1" t="s">
        <v>19</v>
      </c>
      <c r="D17" s="9">
        <v>665040</v>
      </c>
      <c r="E17" s="9">
        <v>575857</v>
      </c>
      <c r="F17" s="9">
        <v>1240897</v>
      </c>
      <c r="G17" s="8"/>
      <c r="H17" s="2"/>
      <c r="I17" s="2"/>
      <c r="J17" s="2"/>
      <c r="K17" s="2"/>
    </row>
    <row r="18" spans="1:11" ht="16.350000000000001" customHeight="1" x14ac:dyDescent="0.3">
      <c r="A18" s="2"/>
      <c r="B18" s="12"/>
      <c r="C18" s="1" t="s">
        <v>20</v>
      </c>
      <c r="D18" s="9">
        <v>6653187</v>
      </c>
      <c r="E18" s="9">
        <v>6840543</v>
      </c>
      <c r="F18" s="9">
        <v>13493730</v>
      </c>
      <c r="G18" s="8"/>
      <c r="H18" s="2"/>
      <c r="I18" s="2"/>
      <c r="J18" s="2"/>
      <c r="K18" s="2"/>
    </row>
    <row r="19" spans="1:11" ht="16.350000000000001" customHeight="1" x14ac:dyDescent="0.3">
      <c r="A19" s="2"/>
      <c r="B19" s="12"/>
      <c r="C19" s="10" t="s">
        <v>21</v>
      </c>
      <c r="D19" s="11">
        <v>18898940</v>
      </c>
      <c r="E19" s="11">
        <v>17873781</v>
      </c>
      <c r="F19" s="11">
        <v>36772721</v>
      </c>
      <c r="G19" s="8"/>
      <c r="H19" s="2"/>
      <c r="I19" s="2"/>
      <c r="J19" s="2"/>
      <c r="K19" s="2"/>
    </row>
    <row r="20" spans="1:11" ht="14.85" customHeight="1" x14ac:dyDescent="0.3">
      <c r="A20" s="2"/>
      <c r="B20" s="12" t="s">
        <v>22</v>
      </c>
      <c r="C20" s="1"/>
      <c r="D20" s="6" t="s">
        <v>15</v>
      </c>
      <c r="E20" s="6" t="s">
        <v>16</v>
      </c>
      <c r="F20" s="7" t="s">
        <v>17</v>
      </c>
      <c r="G20" s="8"/>
      <c r="H20" s="2"/>
      <c r="I20" s="2"/>
      <c r="J20" s="2"/>
      <c r="K20" s="2"/>
    </row>
    <row r="21" spans="1:11" ht="16.350000000000001" customHeight="1" x14ac:dyDescent="0.3">
      <c r="A21" s="2"/>
      <c r="B21" s="12"/>
      <c r="C21" s="1" t="s">
        <v>18</v>
      </c>
      <c r="D21" s="9">
        <v>2578065</v>
      </c>
      <c r="E21" s="9">
        <v>2176740</v>
      </c>
      <c r="F21" s="9">
        <v>4754805</v>
      </c>
      <c r="G21" s="8"/>
      <c r="H21" s="2"/>
      <c r="I21" s="2"/>
      <c r="J21" s="2"/>
      <c r="K21" s="2"/>
    </row>
    <row r="22" spans="1:11" ht="16.350000000000001" customHeight="1" x14ac:dyDescent="0.3">
      <c r="A22" s="2"/>
      <c r="B22" s="12"/>
      <c r="C22" s="1" t="s">
        <v>19</v>
      </c>
      <c r="D22" s="9">
        <v>118615</v>
      </c>
      <c r="E22" s="9">
        <v>97867</v>
      </c>
      <c r="F22" s="9">
        <v>216482</v>
      </c>
      <c r="G22" s="8"/>
      <c r="H22" s="2"/>
      <c r="I22" s="2"/>
      <c r="J22" s="2"/>
      <c r="K22" s="2"/>
    </row>
    <row r="23" spans="1:11" ht="16.350000000000001" customHeight="1" x14ac:dyDescent="0.3">
      <c r="A23" s="2"/>
      <c r="B23" s="12"/>
      <c r="C23" s="1" t="s">
        <v>20</v>
      </c>
      <c r="D23" s="9">
        <v>950865</v>
      </c>
      <c r="E23" s="9">
        <v>990451</v>
      </c>
      <c r="F23" s="9">
        <v>1941316</v>
      </c>
      <c r="G23" s="8"/>
      <c r="H23" s="2"/>
      <c r="I23" s="2"/>
      <c r="J23" s="2"/>
      <c r="K23" s="2"/>
    </row>
    <row r="24" spans="1:11" ht="16.350000000000001" customHeight="1" x14ac:dyDescent="0.3">
      <c r="A24" s="2"/>
      <c r="B24" s="12"/>
      <c r="C24" s="10" t="s">
        <v>21</v>
      </c>
      <c r="D24" s="11">
        <v>3647545</v>
      </c>
      <c r="E24" s="11">
        <v>3265058</v>
      </c>
      <c r="F24" s="11">
        <v>6912603</v>
      </c>
      <c r="G24" s="8"/>
      <c r="H24" s="2"/>
      <c r="I24" s="2"/>
      <c r="J24" s="2"/>
      <c r="K24" s="2"/>
    </row>
    <row r="25" spans="1:11" ht="14.85" customHeight="1" x14ac:dyDescent="0.3">
      <c r="A25" s="2"/>
      <c r="B25" s="12" t="s">
        <v>23</v>
      </c>
      <c r="C25" s="1"/>
      <c r="D25" s="6" t="s">
        <v>15</v>
      </c>
      <c r="E25" s="6" t="s">
        <v>16</v>
      </c>
      <c r="F25" s="7" t="s">
        <v>17</v>
      </c>
      <c r="G25" s="8"/>
      <c r="H25" s="2"/>
      <c r="I25" s="2"/>
      <c r="J25" s="2"/>
      <c r="K25" s="2"/>
    </row>
    <row r="26" spans="1:11" ht="16.350000000000001" customHeight="1" x14ac:dyDescent="0.3">
      <c r="A26" s="2"/>
      <c r="B26" s="12"/>
      <c r="C26" s="1" t="s">
        <v>18</v>
      </c>
      <c r="D26" s="9">
        <v>567839</v>
      </c>
      <c r="E26" s="9">
        <v>426386</v>
      </c>
      <c r="F26" s="9">
        <v>994225</v>
      </c>
      <c r="G26" s="8"/>
      <c r="H26" s="2"/>
      <c r="I26" s="2"/>
      <c r="J26" s="2"/>
      <c r="K26" s="2"/>
    </row>
    <row r="27" spans="1:11" ht="16.350000000000001" customHeight="1" x14ac:dyDescent="0.3">
      <c r="A27" s="2"/>
      <c r="B27" s="12"/>
      <c r="C27" s="1" t="s">
        <v>19</v>
      </c>
      <c r="D27" s="9">
        <v>33460</v>
      </c>
      <c r="E27" s="9">
        <v>23392</v>
      </c>
      <c r="F27" s="9">
        <v>56852</v>
      </c>
      <c r="G27" s="8"/>
      <c r="H27" s="2"/>
      <c r="I27" s="2"/>
      <c r="J27" s="2"/>
      <c r="K27" s="2"/>
    </row>
    <row r="28" spans="1:11" ht="16.350000000000001" customHeight="1" x14ac:dyDescent="0.3">
      <c r="A28" s="2"/>
      <c r="B28" s="12"/>
      <c r="C28" s="1" t="s">
        <v>20</v>
      </c>
      <c r="D28" s="9">
        <v>460122</v>
      </c>
      <c r="E28" s="9">
        <v>422264</v>
      </c>
      <c r="F28" s="9">
        <v>882386</v>
      </c>
      <c r="G28" s="8"/>
      <c r="H28" s="2"/>
      <c r="I28" s="2"/>
      <c r="J28" s="2"/>
      <c r="K28" s="2"/>
    </row>
    <row r="29" spans="1:11" ht="16.350000000000001" customHeight="1" x14ac:dyDescent="0.3">
      <c r="A29" s="2"/>
      <c r="B29" s="12"/>
      <c r="C29" s="10" t="s">
        <v>21</v>
      </c>
      <c r="D29" s="11">
        <v>1061421</v>
      </c>
      <c r="E29" s="11">
        <v>872042</v>
      </c>
      <c r="F29" s="11">
        <v>1933463</v>
      </c>
      <c r="G29" s="8"/>
      <c r="H29" s="2"/>
      <c r="I29" s="2"/>
      <c r="J29" s="2"/>
      <c r="K29" s="2"/>
    </row>
    <row r="30" spans="1:11" ht="14.85" customHeight="1" x14ac:dyDescent="0.3">
      <c r="A30" s="2"/>
      <c r="B30" s="12" t="s">
        <v>17</v>
      </c>
      <c r="C30" s="1"/>
      <c r="D30" s="6" t="s">
        <v>15</v>
      </c>
      <c r="E30" s="6" t="s">
        <v>16</v>
      </c>
      <c r="F30" s="7" t="s">
        <v>17</v>
      </c>
      <c r="G30" s="8"/>
      <c r="H30" s="2"/>
      <c r="I30" s="2"/>
      <c r="J30" s="2"/>
      <c r="K30" s="2"/>
    </row>
    <row r="31" spans="1:11" ht="16.350000000000001" customHeight="1" x14ac:dyDescent="0.3">
      <c r="A31" s="2"/>
      <c r="B31" s="12"/>
      <c r="C31" s="1" t="s">
        <v>18</v>
      </c>
      <c r="D31" s="9">
        <v>14726617</v>
      </c>
      <c r="E31" s="9">
        <v>13060507</v>
      </c>
      <c r="F31" s="9">
        <v>27787124</v>
      </c>
      <c r="G31" s="8"/>
      <c r="H31" s="2"/>
      <c r="I31" s="2"/>
      <c r="J31" s="2"/>
      <c r="K31" s="2"/>
    </row>
    <row r="32" spans="1:11" ht="16.350000000000001" customHeight="1" x14ac:dyDescent="0.3">
      <c r="A32" s="2"/>
      <c r="B32" s="12"/>
      <c r="C32" s="1" t="s">
        <v>19</v>
      </c>
      <c r="D32" s="9">
        <v>817115</v>
      </c>
      <c r="E32" s="9">
        <v>697116</v>
      </c>
      <c r="F32" s="9">
        <v>1514231</v>
      </c>
      <c r="G32" s="8"/>
      <c r="H32" s="2"/>
      <c r="I32" s="2"/>
      <c r="J32" s="2"/>
      <c r="K32" s="2"/>
    </row>
    <row r="33" spans="1:11" ht="16.350000000000001" customHeight="1" x14ac:dyDescent="0.3">
      <c r="A33" s="2"/>
      <c r="B33" s="12"/>
      <c r="C33" s="1" t="s">
        <v>20</v>
      </c>
      <c r="D33" s="9">
        <v>8064174</v>
      </c>
      <c r="E33" s="9">
        <v>8253258</v>
      </c>
      <c r="F33" s="9">
        <v>16317432</v>
      </c>
      <c r="G33" s="8"/>
      <c r="H33" s="2"/>
      <c r="I33" s="2"/>
      <c r="J33" s="2"/>
      <c r="K33" s="2"/>
    </row>
    <row r="34" spans="1:11" ht="16.350000000000001" customHeight="1" x14ac:dyDescent="0.3">
      <c r="A34" s="2"/>
      <c r="B34" s="12"/>
      <c r="C34" s="10" t="s">
        <v>21</v>
      </c>
      <c r="D34" s="11">
        <v>23607906</v>
      </c>
      <c r="E34" s="11">
        <v>22010881</v>
      </c>
      <c r="F34" s="11">
        <v>45618787</v>
      </c>
      <c r="G34" s="8"/>
      <c r="H34" s="2"/>
      <c r="I34" s="2"/>
      <c r="J34" s="2"/>
      <c r="K34" s="2"/>
    </row>
    <row r="35" spans="1:11" ht="16.350000000000001" customHeight="1" x14ac:dyDescent="0.3">
      <c r="A35" s="2"/>
      <c r="B35" s="5"/>
      <c r="C35" s="5"/>
      <c r="D35" s="5"/>
      <c r="E35" s="5"/>
      <c r="F35" s="5"/>
      <c r="G35" s="2"/>
      <c r="H35" s="2"/>
      <c r="I35" s="2"/>
      <c r="J35" s="2"/>
      <c r="K35" s="2"/>
    </row>
    <row r="36" spans="1:11" ht="16.350000000000001" customHeight="1" x14ac:dyDescent="0.3">
      <c r="A36" s="13" t="s">
        <v>24</v>
      </c>
      <c r="B36" s="14"/>
      <c r="C36" s="14"/>
      <c r="D36" s="14"/>
      <c r="E36" s="14"/>
      <c r="F36" s="14"/>
      <c r="G36" s="14"/>
      <c r="H36" s="14"/>
      <c r="I36" s="14"/>
      <c r="J36" s="14"/>
      <c r="K36" s="2"/>
    </row>
    <row r="37" spans="1:11" ht="16.350000000000001" customHeight="1" x14ac:dyDescent="0.3">
      <c r="A37" s="13" t="s">
        <v>25</v>
      </c>
      <c r="B37" s="14"/>
      <c r="C37" s="14"/>
      <c r="D37" s="14"/>
      <c r="E37" s="14"/>
      <c r="F37" s="14"/>
      <c r="G37" s="14"/>
      <c r="H37" s="14"/>
      <c r="I37" s="14"/>
      <c r="J37" s="14"/>
      <c r="K37" s="2"/>
    </row>
    <row r="38" spans="1:11" ht="16.350000000000001" customHeight="1" x14ac:dyDescent="0.3">
      <c r="A38" s="13" t="s">
        <v>26</v>
      </c>
      <c r="B38" s="14"/>
      <c r="C38" s="14"/>
      <c r="D38" s="14"/>
      <c r="E38" s="14"/>
      <c r="F38" s="14"/>
      <c r="G38" s="14"/>
      <c r="H38" s="14"/>
      <c r="I38" s="14"/>
      <c r="J38" s="14"/>
      <c r="K38" s="2"/>
    </row>
    <row r="39" spans="1:11" ht="16.35000000000000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</sheetData>
  <mergeCells count="20">
    <mergeCell ref="A1:K1"/>
    <mergeCell ref="A2:K2"/>
    <mergeCell ref="A3:K3"/>
    <mergeCell ref="A4:K4"/>
    <mergeCell ref="A5:K5"/>
    <mergeCell ref="A6:K6"/>
    <mergeCell ref="A7:K7"/>
    <mergeCell ref="A8:K8"/>
    <mergeCell ref="A9:K9"/>
    <mergeCell ref="A10:K10"/>
    <mergeCell ref="A11:K11"/>
    <mergeCell ref="A12:K12"/>
    <mergeCell ref="D14:F14"/>
    <mergeCell ref="B15:B19"/>
    <mergeCell ref="B20:B24"/>
    <mergeCell ref="B25:B29"/>
    <mergeCell ref="B30:B34"/>
    <mergeCell ref="A36:J36"/>
    <mergeCell ref="A37:J37"/>
    <mergeCell ref="A38:J38"/>
  </mergeCells>
  <printOptions horizontalCentered="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F467B-7686-424D-8F4F-C1C09F5DF47C}">
  <dimension ref="B4:K18"/>
  <sheetViews>
    <sheetView tabSelected="1" workbookViewId="0">
      <selection activeCell="B26" sqref="B26"/>
    </sheetView>
  </sheetViews>
  <sheetFormatPr defaultRowHeight="14.4" x14ac:dyDescent="0.3"/>
  <cols>
    <col min="2" max="2" width="21.21875" customWidth="1"/>
    <col min="3" max="5" width="20.109375" customWidth="1"/>
    <col min="9" max="9" width="12.88671875" bestFit="1" customWidth="1"/>
    <col min="10" max="10" width="13" bestFit="1" customWidth="1"/>
    <col min="11" max="11" width="12.44140625" bestFit="1" customWidth="1"/>
  </cols>
  <sheetData>
    <row r="4" spans="2:11" x14ac:dyDescent="0.3">
      <c r="C4" t="s">
        <v>36</v>
      </c>
      <c r="D4" t="s">
        <v>37</v>
      </c>
      <c r="E4" t="s">
        <v>38</v>
      </c>
      <c r="I4" t="s">
        <v>39</v>
      </c>
      <c r="J4" t="s">
        <v>40</v>
      </c>
      <c r="K4" t="s">
        <v>38</v>
      </c>
    </row>
    <row r="5" spans="2:11" ht="21.6" x14ac:dyDescent="0.3">
      <c r="B5" s="1" t="s">
        <v>18</v>
      </c>
      <c r="C5" s="9">
        <v>994225</v>
      </c>
      <c r="D5" s="9">
        <v>27787124</v>
      </c>
      <c r="E5" s="9">
        <v>26792899</v>
      </c>
      <c r="I5" s="9">
        <v>4754805</v>
      </c>
      <c r="J5" s="9">
        <v>22038094</v>
      </c>
      <c r="K5" s="17">
        <f>SUM(I5:J5)</f>
        <v>26792899</v>
      </c>
    </row>
    <row r="6" spans="2:11" ht="21.6" x14ac:dyDescent="0.3">
      <c r="B6" s="1" t="s">
        <v>19</v>
      </c>
      <c r="C6" s="9">
        <v>56852</v>
      </c>
      <c r="D6" s="9">
        <v>1514231</v>
      </c>
      <c r="E6" s="9">
        <v>1457379</v>
      </c>
      <c r="I6" s="9">
        <v>216482</v>
      </c>
      <c r="J6" s="9">
        <v>1240897</v>
      </c>
      <c r="K6" s="17">
        <f t="shared" ref="K6:K7" si="0">SUM(I6:J6)</f>
        <v>1457379</v>
      </c>
    </row>
    <row r="7" spans="2:11" ht="21.6" x14ac:dyDescent="0.3">
      <c r="B7" s="1" t="s">
        <v>20</v>
      </c>
      <c r="C7" s="9">
        <v>882386</v>
      </c>
      <c r="D7" s="9">
        <v>16317432</v>
      </c>
      <c r="E7" s="9">
        <v>15435046</v>
      </c>
      <c r="I7" s="9">
        <v>1941316</v>
      </c>
      <c r="J7" s="9">
        <v>13493730</v>
      </c>
      <c r="K7" s="17">
        <f t="shared" si="0"/>
        <v>15435046</v>
      </c>
    </row>
    <row r="8" spans="2:11" x14ac:dyDescent="0.3">
      <c r="C8" s="9">
        <f>SUM(C5:C7)</f>
        <v>1933463</v>
      </c>
      <c r="D8" s="9">
        <f t="shared" ref="D8:E8" si="1">SUM(D5:D7)</f>
        <v>45618787</v>
      </c>
      <c r="E8" s="9">
        <f t="shared" si="1"/>
        <v>43685324</v>
      </c>
    </row>
    <row r="9" spans="2:11" x14ac:dyDescent="0.3">
      <c r="C9" s="9"/>
      <c r="D9" s="9"/>
    </row>
    <row r="10" spans="2:11" x14ac:dyDescent="0.3">
      <c r="C10" s="9"/>
      <c r="D10" s="9"/>
    </row>
    <row r="11" spans="2:11" x14ac:dyDescent="0.3">
      <c r="C11" t="s">
        <v>36</v>
      </c>
      <c r="D11" t="s">
        <v>37</v>
      </c>
      <c r="E11" t="s">
        <v>38</v>
      </c>
    </row>
    <row r="12" spans="2:11" ht="21.6" x14ac:dyDescent="0.3">
      <c r="B12" s="1" t="s">
        <v>18</v>
      </c>
      <c r="C12" s="18">
        <f>C5/C$8</f>
        <v>0.5142198221533073</v>
      </c>
      <c r="D12" s="18">
        <f t="shared" ref="D12:E12" si="2">D5/D$8</f>
        <v>0.60911580134737031</v>
      </c>
      <c r="E12" s="18">
        <f t="shared" si="2"/>
        <v>0.61331578998933367</v>
      </c>
    </row>
    <row r="13" spans="2:11" ht="21.6" x14ac:dyDescent="0.3">
      <c r="B13" s="1" t="s">
        <v>19</v>
      </c>
      <c r="C13" s="18">
        <f t="shared" ref="C13:E14" si="3">C6/C$8</f>
        <v>2.9404234784942872E-2</v>
      </c>
      <c r="D13" s="18">
        <f t="shared" si="3"/>
        <v>3.3193144745387468E-2</v>
      </c>
      <c r="E13" s="18">
        <f t="shared" si="3"/>
        <v>3.3360837612192142E-2</v>
      </c>
    </row>
    <row r="14" spans="2:11" ht="21.6" x14ac:dyDescent="0.3">
      <c r="B14" s="1" t="s">
        <v>20</v>
      </c>
      <c r="C14" s="18">
        <f t="shared" si="3"/>
        <v>0.45637594306174983</v>
      </c>
      <c r="D14" s="18">
        <f t="shared" si="3"/>
        <v>0.35769105390724221</v>
      </c>
      <c r="E14" s="18">
        <f t="shared" si="3"/>
        <v>0.35332337239847417</v>
      </c>
    </row>
    <row r="15" spans="2:11" x14ac:dyDescent="0.3">
      <c r="C15" s="18">
        <f>SUM(C12:C14)</f>
        <v>1</v>
      </c>
      <c r="D15" s="18">
        <f t="shared" ref="D15" si="4">SUM(D12:D14)</f>
        <v>1</v>
      </c>
      <c r="E15" s="18">
        <f t="shared" ref="E15" si="5">SUM(E12:E14)</f>
        <v>1</v>
      </c>
    </row>
    <row r="18" spans="3:3" x14ac:dyDescent="0.3">
      <c r="C18" s="19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418A-1BCB-49B6-B76A-5783337F183F}">
  <dimension ref="A1:D4"/>
  <sheetViews>
    <sheetView workbookViewId="0">
      <selection activeCell="G1" sqref="G1:H4"/>
    </sheetView>
  </sheetViews>
  <sheetFormatPr defaultColWidth="11.5546875" defaultRowHeight="14.4" x14ac:dyDescent="0.3"/>
  <sheetData>
    <row r="1" spans="1:4" x14ac:dyDescent="0.3">
      <c r="B1" t="s">
        <v>15</v>
      </c>
      <c r="C1" t="s">
        <v>16</v>
      </c>
      <c r="D1" t="s">
        <v>17</v>
      </c>
    </row>
    <row r="2" spans="1:4" x14ac:dyDescent="0.3">
      <c r="A2" t="s">
        <v>18</v>
      </c>
      <c r="B2" t="s">
        <v>27</v>
      </c>
      <c r="C2" t="s">
        <v>28</v>
      </c>
      <c r="D2" t="s">
        <v>29</v>
      </c>
    </row>
    <row r="3" spans="1:4" x14ac:dyDescent="0.3">
      <c r="A3" t="s">
        <v>19</v>
      </c>
      <c r="B3" t="s">
        <v>30</v>
      </c>
      <c r="C3" t="s">
        <v>31</v>
      </c>
      <c r="D3" t="s">
        <v>32</v>
      </c>
    </row>
    <row r="4" spans="1:4" x14ac:dyDescent="0.3">
      <c r="A4" t="s">
        <v>20</v>
      </c>
      <c r="B4" t="s">
        <v>33</v>
      </c>
      <c r="C4" t="s">
        <v>34</v>
      </c>
      <c r="D4" t="s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6A8C6-E24B-4B51-A1F1-E508C8FAA1B5}">
  <dimension ref="A1:E5"/>
  <sheetViews>
    <sheetView workbookViewId="0">
      <selection activeCell="E5" sqref="B5:E5"/>
    </sheetView>
  </sheetViews>
  <sheetFormatPr defaultColWidth="11.5546875" defaultRowHeight="14.4" x14ac:dyDescent="0.3"/>
  <sheetData>
    <row r="1" spans="1:5" ht="21.6" x14ac:dyDescent="0.3">
      <c r="A1" s="12" t="s">
        <v>14</v>
      </c>
      <c r="B1" s="1"/>
      <c r="C1" s="6" t="s">
        <v>15</v>
      </c>
      <c r="D1" s="6" t="s">
        <v>16</v>
      </c>
      <c r="E1" s="7" t="s">
        <v>17</v>
      </c>
    </row>
    <row r="2" spans="1:5" ht="32.4" x14ac:dyDescent="0.3">
      <c r="A2" s="12"/>
      <c r="B2" s="1" t="s">
        <v>18</v>
      </c>
      <c r="C2" s="9">
        <v>11580713</v>
      </c>
      <c r="D2" s="9">
        <v>10457381</v>
      </c>
      <c r="E2" s="9">
        <v>22038094</v>
      </c>
    </row>
    <row r="3" spans="1:5" ht="32.4" x14ac:dyDescent="0.3">
      <c r="A3" s="12"/>
      <c r="B3" s="1" t="s">
        <v>19</v>
      </c>
      <c r="C3" s="9">
        <v>665040</v>
      </c>
      <c r="D3" s="9">
        <v>575857</v>
      </c>
      <c r="E3" s="9">
        <v>1240897</v>
      </c>
    </row>
    <row r="4" spans="1:5" ht="32.4" x14ac:dyDescent="0.3">
      <c r="A4" s="12"/>
      <c r="B4" s="1" t="s">
        <v>20</v>
      </c>
      <c r="C4" s="9">
        <v>6653187</v>
      </c>
      <c r="D4" s="9">
        <v>6840543</v>
      </c>
      <c r="E4" s="9">
        <v>13493730</v>
      </c>
    </row>
    <row r="5" spans="1:5" x14ac:dyDescent="0.3">
      <c r="A5" s="12"/>
    </row>
  </sheetData>
  <mergeCells count="1">
    <mergeCell ref="A1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8D12-7851-449A-899C-8BD6C2FAB216}">
  <dimension ref="A1:E5"/>
  <sheetViews>
    <sheetView workbookViewId="0">
      <selection activeCell="E5" sqref="B5:E5"/>
    </sheetView>
  </sheetViews>
  <sheetFormatPr defaultColWidth="11.5546875" defaultRowHeight="14.4" x14ac:dyDescent="0.3"/>
  <sheetData>
    <row r="1" spans="1:5" ht="21.6" x14ac:dyDescent="0.3">
      <c r="A1" s="12" t="s">
        <v>22</v>
      </c>
      <c r="B1" s="1"/>
      <c r="C1" s="6" t="s">
        <v>15</v>
      </c>
      <c r="D1" s="6" t="s">
        <v>16</v>
      </c>
      <c r="E1" s="7" t="s">
        <v>17</v>
      </c>
    </row>
    <row r="2" spans="1:5" ht="32.4" x14ac:dyDescent="0.3">
      <c r="A2" s="12"/>
      <c r="B2" s="1" t="s">
        <v>18</v>
      </c>
      <c r="C2" s="9">
        <v>2578065</v>
      </c>
      <c r="D2" s="9">
        <v>2176740</v>
      </c>
      <c r="E2" s="9">
        <v>4754805</v>
      </c>
    </row>
    <row r="3" spans="1:5" ht="32.4" x14ac:dyDescent="0.3">
      <c r="A3" s="12"/>
      <c r="B3" s="1" t="s">
        <v>19</v>
      </c>
      <c r="C3" s="9">
        <v>118615</v>
      </c>
      <c r="D3" s="9">
        <v>97867</v>
      </c>
      <c r="E3" s="9">
        <v>216482</v>
      </c>
    </row>
    <row r="4" spans="1:5" ht="32.4" x14ac:dyDescent="0.3">
      <c r="A4" s="12"/>
      <c r="B4" s="1" t="s">
        <v>20</v>
      </c>
      <c r="C4" s="9">
        <v>950865</v>
      </c>
      <c r="D4" s="9">
        <v>990451</v>
      </c>
      <c r="E4" s="9">
        <v>1941316</v>
      </c>
    </row>
    <row r="5" spans="1:5" x14ac:dyDescent="0.3">
      <c r="A5" s="12"/>
    </row>
  </sheetData>
  <mergeCells count="1">
    <mergeCell ref="A1:A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02E7-97B3-4F14-BE32-A2762B5CFC82}">
  <dimension ref="A1:D4"/>
  <sheetViews>
    <sheetView workbookViewId="0">
      <selection activeCell="D16" sqref="D16"/>
    </sheetView>
  </sheetViews>
  <sheetFormatPr defaultColWidth="11.5546875" defaultRowHeight="14.4" x14ac:dyDescent="0.3"/>
  <sheetData>
    <row r="1" spans="1:4" ht="21.6" x14ac:dyDescent="0.3">
      <c r="A1" s="1"/>
      <c r="B1" s="6" t="s">
        <v>15</v>
      </c>
      <c r="C1" s="6" t="s">
        <v>16</v>
      </c>
      <c r="D1" s="7" t="s">
        <v>17</v>
      </c>
    </row>
    <row r="2" spans="1:4" ht="32.4" x14ac:dyDescent="0.3">
      <c r="A2" s="1" t="s">
        <v>18</v>
      </c>
      <c r="B2" s="9">
        <v>14726617</v>
      </c>
      <c r="C2" s="9">
        <v>13060507</v>
      </c>
      <c r="D2" s="9">
        <v>27787124</v>
      </c>
    </row>
    <row r="3" spans="1:4" ht="32.4" x14ac:dyDescent="0.3">
      <c r="A3" s="1" t="s">
        <v>19</v>
      </c>
      <c r="B3" s="9">
        <v>817115</v>
      </c>
      <c r="C3" s="9">
        <v>697116</v>
      </c>
      <c r="D3" s="9">
        <v>1514231</v>
      </c>
    </row>
    <row r="4" spans="1:4" ht="32.4" x14ac:dyDescent="0.3">
      <c r="A4" s="1" t="s">
        <v>20</v>
      </c>
      <c r="B4" s="9">
        <v>8064174</v>
      </c>
      <c r="C4" s="9">
        <v>8253258</v>
      </c>
      <c r="D4" s="9">
        <v>16317432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20686-265C-4499-93D2-4B30ED00E72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Output</vt:lpstr>
      <vt:lpstr>Sheet1</vt:lpstr>
      <vt:lpstr>Migrante</vt:lpstr>
      <vt:lpstr>arg1</vt:lpstr>
      <vt:lpstr>arg2</vt:lpstr>
      <vt:lpstr>total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Natalia Debandi</cp:lastModifiedBy>
  <dcterms:created xsi:type="dcterms:W3CDTF">2025-06-17T22:43:47Z</dcterms:created>
  <dcterms:modified xsi:type="dcterms:W3CDTF">2025-06-23T15:02:57Z</dcterms:modified>
</cp:coreProperties>
</file>